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6"/>
  </bookViews>
  <sheets>
    <sheet name="Overview" sheetId="1" state="visible" r:id="rId3"/>
    <sheet name="Stage 1 - Target" sheetId="2" state="visible" r:id="rId4"/>
    <sheet name="Stage 2 - Sequence-Structure" sheetId="3" state="visible" r:id="rId5"/>
    <sheet name="Stage 3 - KO Modeling" sheetId="4" state="visible" r:id="rId6"/>
    <sheet name="Stage 4 - Network Analysis" sheetId="5" state="visible" r:id="rId7"/>
    <sheet name="Stage 5 - Phenotype Prediction" sheetId="6" state="visible" r:id="rId8"/>
    <sheet name="Stage 6 - Validation" sheetId="7" state="visible" r:id="rId9"/>
    <sheet name="Final Assembly" sheetId="8" state="visible" r:id="rId10"/>
    <sheet name="Reference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<sst xmlns="http://schemas.openxmlformats.org/spreadsheetml/2006/main" count="282" uniqueCount="156">
  <si>
    <t xml:space="preserve">DISC1 In Silico Project — Tracker</t>
  </si>
  <si>
    <t xml:space="preserve">MGI:2447658  |  Human ortholog DISC1, chr 1q42.1</t>
  </si>
  <si>
    <t xml:space="preserve">How to use this workbook</t>
  </si>
  <si>
    <t xml:space="preserve">• Each tab is one stage of the workflow — fill it in as you complete that stage.</t>
  </si>
  <si>
    <t xml:space="preserve">• Gray 'Ex' row on each tab shows the expected format — leave it as reference, don't delete it.</t>
  </si>
  <si>
    <t xml:space="preserve">• Yellow cells (Status, Date, Findings/Notes, Citation) are for you to fill in.</t>
  </si>
  <si>
    <t xml:space="preserve">• White cells (Task, Tool/URL) are pre-filled from the execution guide — no need to edit.</t>
  </si>
  <si>
    <t xml:space="preserve">• Status dropdown: Not Started / In Progress / Done / Blocked.</t>
  </si>
  <si>
    <t xml:space="preserve">• This sheet totals your progress automatically from the other tabs.</t>
  </si>
  <si>
    <t xml:space="preserve">Stage</t>
  </si>
  <si>
    <t xml:space="preserve">Total Tasks</t>
  </si>
  <si>
    <t xml:space="preserve">Done</t>
  </si>
  <si>
    <t xml:space="preserve">% Complete</t>
  </si>
  <si>
    <t xml:space="preserve">Notes</t>
  </si>
  <si>
    <t xml:space="preserve">Stage 1 - Target</t>
  </si>
  <si>
    <t xml:space="preserve">Stage 2 - Sequence-Structure</t>
  </si>
  <si>
    <t xml:space="preserve">Stage 3 - KO Modeling</t>
  </si>
  <si>
    <t xml:space="preserve">Stage 4 - Network Analysis</t>
  </si>
  <si>
    <t xml:space="preserve">Stage 5 - Phenotype Prediction</t>
  </si>
  <si>
    <t xml:space="preserve">Stage 6 - Validation</t>
  </si>
  <si>
    <t xml:space="preserve">Final Assembly</t>
  </si>
  <si>
    <t xml:space="preserve">TOTAL</t>
  </si>
  <si>
    <t xml:space="preserve">#</t>
  </si>
  <si>
    <t xml:space="preserve">Task</t>
  </si>
  <si>
    <t xml:space="preserve">Tool / URL</t>
  </si>
  <si>
    <t xml:space="preserve">Status</t>
  </si>
  <si>
    <t xml:space="preserve">Date</t>
  </si>
  <si>
    <t xml:space="preserve">Findings / Notes</t>
  </si>
  <si>
    <t xml:space="preserve">Citation / Source</t>
  </si>
  <si>
    <t xml:space="preserve">Ex</t>
  </si>
  <si>
    <t xml:space="preserve">Confirm gene record on MGI</t>
  </si>
  <si>
    <t xml:space="preserve">informatics.jax.org</t>
  </si>
  <si>
    <t xml:space="preserve">2026-08-21</t>
  </si>
  <si>
    <t xml:space="preserve">Confirmed MGI:2447658; 14 alleles listed, incl. exon2-3 targeted null</t>
  </si>
  <si>
    <t xml:space="preserve">MGI database</t>
  </si>
  <si>
    <t xml:space="preserve">Confirm gene record on MGI (search 'Disc1', verify MGI:2447658, note alleles)</t>
  </si>
  <si>
    <t xml:space="preserve">9 alleles, 22 mutations total (5 ENU, 7 endonuclease-mediated, 7 targeted, 2 transgenic, 1 spontaneous). Null homozygotes: altered anxiety, synaptic depression, LTP deficits, impulsivity, altered social investigation, hyperactivity, PPI deficits.</t>
  </si>
  <si>
    <t xml:space="preserve">MGI:2447658</t>
  </si>
  <si>
    <t xml:space="preserve">Pull phenotype summary from IMPC (search 'Disc1', screenshot phenotype hits)</t>
  </si>
  <si>
    <t xml:space="preserve">mousephenotype.org</t>
  </si>
  <si>
    <t xml:space="preserve">IMPC lists 9 significant phenotypes (out of 496 tests) for allele Disc1em1(IMPC)Mbp, homozygote, early adult stage. Phenotypes are mostly morphological/physical rather than behavioral: abnormal heart, kidney, and spleen morphology, plus eye defects (abnormal vitreous body, cataract). This is a CRISPR-generated allele, distinct from the exon 2-3 knockout and ENU point mutants discussed in the literature.</t>
  </si>
  <si>
    <t xml:space="preserve">IMPC, mousephenotype.org, allele Disc1em1(IMPC)Mbp</t>
  </si>
  <si>
    <t xml:space="preserve">Write 3-5 sentence target justification citing St Clair et al. (1990)</t>
  </si>
  <si>
    <t xml:space="preserve">—</t>
  </si>
  <si>
    <t xml:space="preserve">DISC1 was selected because it is one of the few schizophrenia-associated genes identified through direct causal evidence rather than statistical association alone: a balanced chromosomal translocation disrupting the gene was found to segregate with schizophrenia, bipolar disorder, and major depression across a Scottish family (St Clair et al., 1990). This is supported by extensive downstream evidence in MGI (9 characterized alleles, 22 mutations) and IMPC (9 significant phenotypes across heart, kidney, spleen, and eye systems for the CRISPR allele Disc1em1(IMPC)Mbp), plus published behavioral phenotypes including altered anxiety, prepulse inhibition deficits, and social behavior changes in other alleles. The combination of a rare high-penetrance human pedigree and a well-characterized mouse model makes DISC1 a strong candidate for a structured in silico knockout-analysis workflow.</t>
  </si>
  <si>
    <t xml:space="preserve">Record RefSeq accession numbers</t>
  </si>
  <si>
    <t xml:space="preserve">ncbi.nlm.nih.gov/gene</t>
  </si>
  <si>
    <t xml:space="preserve">Mouse NM_001301827; human NM_018662 (verify current versions)</t>
  </si>
  <si>
    <t xml:space="preserve">NCBI Gene</t>
  </si>
  <si>
    <t xml:space="preserve">Record mouse &amp; human RefSeq accession numbers</t>
  </si>
  <si>
    <t xml:space="preserve">DONE</t>
  </si>
  <si>
    <t xml:space="preserve">Human DISC1 (Gene ID 27185), 4 isoforms:
- Lv: NM_001012957.2 / NP_001012975.1
- Es: NM_001012958.2 / NP_001012976.1
- S: NM_001012959.2 / NP_001012977.1
- a: NM_001164537.2 / NP_001158009.1
Mouse Disc1 (Gene ID 244667), 2 isoforms:
- Variant 2: NM_174853.3 / NP_777278.2
- Variant 1 (longer): NM_174854.2 / NP_777279.2</t>
  </si>
  <si>
    <t xml:space="preserve">NCBI Gene: human ID 27185, mouse ID 244667</t>
  </si>
  <si>
    <t xml:space="preserve">Note exon layout &amp; download transcript FASTA</t>
  </si>
  <si>
    <t xml:space="preserve">ensembl.org</t>
  </si>
  <si>
    <t xml:space="preserve">Canonical transcript (MANE Select): ENST00000439617.8
- 13 exons, all 13 coding
- Transcript length: 414,483 bp (genomic span, includes introns)
- Combined exon length: 7,084 bp
- Protein: ENSP00000403888.4, 854 amino acids
- Cross-references: UniProtKB/Swiss-Prot Q9NRI5, CCDS86059
- 25 total transcripts exist for this gene (isoform complexity) - using MANE Select as the reference for this project</t>
  </si>
  <si>
    <t xml:space="preserve">Ensembl, ENSG00000162946.25 / ENST00000439617.8, GRCh38.p14, Release 2026-07</t>
  </si>
  <si>
    <t xml:space="preserve">Screenshot Features/Domains tab (D-I-S-C regions)</t>
  </si>
  <si>
    <t xml:space="preserve">uniprot.org</t>
  </si>
  <si>
    <t xml:space="preserve">UniProt Q9NRI5 (DISC1_HUMAN), 854 aa, reviewed/Swiss-Prot, annotation score 5/5.
N-terminal region (~1-292): mostly disordered, includes MAP1A interaction region.
4 coiled-coil regions confirmed: 366-394, 452-505, 602-666, 802-830.
These map onto the D-I-S-C domain architecture described in Soares et al. (2011) and Ottis et al. (2017): four discrete coiled-coil segments spread across the C-terminal ~two-thirds of the protein, consistent with a multi-domain scaffold rather than a single continuous coiled-coil.</t>
  </si>
  <si>
    <t xml:space="preserve">UniProt Q9NRI5, Family &amp; Domains section</t>
  </si>
  <si>
    <t xml:space="preserve">View predicted structure &amp; save image</t>
  </si>
  <si>
    <t xml:space="preserve">alphafold.ebi.ac.uk</t>
  </si>
  <si>
    <t xml:space="preserve">AlphaFold entry AF-Q9NRI5-F1 (canonical, full-length, Version v6, Google DeepMind dataset).
Average pLDDT: 63.25 (Low) - notably low confidence overall.
pLDDT distribution: 26.5% Very High, 20.8% High, 5.6% Low, 47.1% Very Low.
Nearly half the protein (47.1%) falls in "Very low" confidence, strongly corroborating UniProt's disordered-region annotation and the literature's description of DISC1 as a largely unstructured scaffold protein rather than a compactly folded enzyme (contrast with a high-confidence structure like Pten).
1 experimental structure exists in PDB for Q9NRI5 (partial, not full-length) - could be checked in a later pass if a higher-resolution comparison is needed.</t>
  </si>
  <si>
    <t xml:space="preserve">AlphaFold Protein Structure Database, AF-Q9NRI5-F1; Jumper et al., 2021, Nature, 596:583-589</t>
  </si>
  <si>
    <t xml:space="preserve">Note on species: structural/domain annotation (UniProt, AlphaFold) sourced from human DISC1 (Q9NRI5) due to more complete annotation coverage than the mouse entry. Knockout modeling (Stage 3) uses mouse-specific sequence data (Ensembl GRCm39, ENSMUSG00000043051), matching the species of the actual published knockout model. This human-reference/mouse-target approach is standard given high cross-species conservation of DISC1.</t>
  </si>
  <si>
    <t xml:space="preserve">UPDATES</t>
  </si>
  <si>
    <t xml:space="preserve">Update 2</t>
  </si>
  <si>
    <t xml:space="preserve">Citation 2</t>
  </si>
  <si>
    <t xml:space="preserve">Run guide RNA design</t>
  </si>
  <si>
    <t xml:space="preserve">crispor.tefor.net</t>
  </si>
  <si>
    <t xml:space="preserve">In Progress</t>
  </si>
  <si>
    <t xml:space="preserve">Top guide: 5'-...-3', specificity score 78/100, 1 predicted off-target</t>
  </si>
  <si>
    <t xml:space="preserve">CRISPOR output</t>
  </si>
  <si>
    <t xml:space="preserve">Locate exon 2-3 in Ensembl transcript view</t>
  </si>
  <si>
    <t xml:space="preserve">Mouse Disc1 (ENSMUSG00000043051.20), canonical transcript ENSMUST00000098311.11, 13 exons total.
- Exon 2 (ENSMUSE00000579332.2): 995 bp - ACAGTGGGCATGGCTTACCGCCTG...CAACCGCAGGCAGCTGGAG
- Exon 3 (ENSMUSE00001258492.2): 70 bp - GTCACTTCCTTAATTTTAAAGCTTCAG...GATGGCGATTACGATACTG
Combined exon2+3 = 1065 bp. This matches the exon 2-3 region targeted in the published mouse knockout model (Kuroda et al., 2011). Species-correct sequence (mouse), confirmed distinct from human sequence used for structural reference in Stage 2.</t>
  </si>
  <si>
    <t xml:space="preserve">Ensembl GRCm39, ENSMUSG00000043051.20 / ENSMUST00000098311.11</t>
  </si>
  <si>
    <t xml:space="preserve">Copy ~200bp genomic sequence spanning the region</t>
  </si>
  <si>
    <t xml:space="preserve">ACAGTGGGCATGGCTTACCGCCTGCAGTAGCCCCTCAGAGGCGGCGGCTGACACGGAGACCAGGCTACATGAGAAGCACAGCGGGTTCTGGGATCGGGTTCCTCTCTCCAGCAGTGGGCATGCCACACCCGAGCTCAGCAGGGCTGACAGGCCAGCAGTCCCAACACTCACAGTCCAAGGCTGGACAGTGCGGACTTGACCCTGGGAGCCACTGCCAAGCCTCACTGGTGGGCAAGCCTTTTCTCAAGAGCTCCCTTGTCCCTGCTGTGGCCTCTGAGGGCCACCTGCACCCAGCCCAGCGCTCTATGAGAAAAAGACCAGTGCACTTTGCGGTTCATTCCAAGAATGACAGCAGACAATCTGAGAGGCTGACTGGGTCATTTAAGCCTGGGGACAGTGGGTTTTGGCAAGAATTATTATCTTCAGACAGCTTTAAGTCTCTGGCTCCTAGCCTTGATGCACCCTGGAACAAGGGATCAAGGGGCCTGAAGACTGTGAAACCTCTGGCATCACCGGCGTTGAATGGCCCCGCTGATATCGCATCCCTTCCCGGCTTCCAAGACACCTTCACTTCCAGCTTCAGCTTCATCCAACTCTCCCTTGGTGCTGCTGGAGAACGCGGAGAAGCAGAAGGTTGCCTGCCATCCAGAGAGGCCGAACCTCTGCATCAGAGGCCCCAAGAGATGGCAGCTGAAGCATCTAGCTCAGACAGGCCCCACGGGGATCCTCGGCATCTCTGGACCTTCAGTCTTCACGCTGCTCCAGGCTTGGCGGACTTGGCTCAGGTGACAAGGAGCAGCAGCAGGCAATCAGAATGTGGCACGGTCTCCTCCTCCTCCTCGGACACTGGCTTCTCTTCCCAGGATGCATCCTCCGCTGGTGGGCGGGGCGACCAGGGCGGCGGCTGGGCCGATGCCCATGGATGGCATACATTGCTCAGGGAATGGGAGCCCATGCTGCAGGACTACCTACTGAGCAACCGCAGGCAGCTGGAG</t>
  </si>
  <si>
    <t xml:space="preserve">Run guide RNA design, record top 2-3 by specificity score</t>
  </si>
  <si>
    <t xml:space="preserve">CRISPOR run on mouse Disc1 exon 2 sequence (995 bp), genome: Mus musculus mm10, chr8:125087454-125088448, PAM: 20bp-NGG (SpCas9). 178 possible guide sequences found. Top 3 by MIT specificity score:
1. Position 524/fw: CTGGCATCACCGGCGTTGAA-TGG | MIT specificity 99, CFD spec 98, 27 off-targets (0-0-0-1-26 by mismatch count)
2. Position 513/rev: TCAGCGGGGCCATTCAACGC-CGG | MIT specificity 98, CFD spec 98, 20 off-targets (0-0-1-0-19)
3. Position 527/rev: GAAGGGATGCGATATCAGCG-GGG | MIT specificity 95, CFD spec 96, 43 off-targets (0-0-0-3-40)
Guide #1 (524/fw) is the strongest candidate: highest specificity score (99/100) and fewest total off-targets among the top 3, with no 0-3 mismatch off-targets (only 1 off-target at 3 mismatches, rest require 4+ mismatches). Recommend this as the primary guide RNA for the proposed knockout.</t>
  </si>
  <si>
    <t xml:space="preserve">CRISPOR v5.2 (crispor.tefor.net), Hsu et al., 2013, Nat Biotechnol (MIT specificity score); Doench et al. (CFD score)</t>
  </si>
  <si>
    <t xml:space="preserve">UPDATE (2026-09-13): Root cause resolved. CRISPOR was re-run specifying genome build mm39/GRCm39 explicitly (previously defaulted to mm10). Same guide RNA confirmed at same scores (524/fw, MIT specificity 99, CFD 98) - proving the guide design itself was always correct, only the coordinate assembly label was mismatched. New region reported: chr8:125814193-125815187 (GRCm39). Calculated corrected cut site: 125814193 + 524 = 125814717. Resubmitting VEP with corrected coordinate 8:125814717-125814717.</t>
  </si>
  <si>
    <t xml:space="preserve">RESOLVED (2026-09-13): Recalculated exact cut site directly from CRISPOR's own genomic sequence output (3bp upstream of PAM, per CRISPOR's stated convention) rather than approximate arithmetic. Precise cut site: chr8:125814711 (T base), mouse GRCm39. Submitted as standard VCF insertion: 8 125814711 . T TA.
VEP CONFIRMED RESULT: frameshift_variant on Disc1 (ENSMUSG00000043051.20), canonical transcript ENSMUST00000098311.11 (+6 additional transcripts affected). This directly confirms the predicted mechanism: a 1bp insertion at the CRISPOR-designed cut site produces a frameshift, consistent with the loss-of-function strategy used in the published exon 2-3 Disc1 knockout model.</t>
  </si>
  <si>
    <t xml:space="preserve">Ensembl VEP v110, GENCODE M39 transcript set; McLaren et al., 2016, Genome Biology, 17:122</t>
  </si>
  <si>
    <t xml:space="preserve">Input hypothetical frameshift variant, confirm consequence call</t>
  </si>
  <si>
    <t xml:space="preserve">ensembl.org/Tools/VEP</t>
  </si>
  <si>
    <t xml:space="preserve">Corrected genome assembly mismatch: CRISPOR was re-run explicitly on GRCm39 (mm39) instead of default mm10. Same top guide confirmed (524/fw, MIT specificity 99, CFD 98, 27 off-targets), proving the guide design was correct - only the coordinate label was wrong.
Calculated exact cut site directly from CRISPOR's own genomic sequence output (3bp upstream of PAM): chr8:125814711 (T base), mouse GRCm39. Submitted to VEP as standard VCF insertion: 8 125814711 . T TA.
VEP CONFIRMED RESULT: frameshift_variant on Disc1 (ENSMUSG00000043051.20), canonical transcript ENSMUST00000098311.11 (+6 additional transcripts affected). This confirms the predicted mechanism: a 1bp insertion at the CRISPR cut site produces a frameshift, consistent with the loss-of-function strategy used in the published exon 2-3 Disc1 knockout model.</t>
  </si>
  <si>
    <t xml:space="preserve">Export network + interactor table</t>
  </si>
  <si>
    <t xml:space="preserve">string-db.org</t>
  </si>
  <si>
    <t xml:space="preserve">Not Started</t>
  </si>
  <si>
    <t xml:space="preserve">Search DISC1, view network, set species</t>
  </si>
  <si>
    <t xml:space="preserve">STRING network for human DISC1 (search: DISC1, species Homo sapiens). Direct interactors and confidence scores (0-1 scale):
- NDE1: 0.999 | NDEL1: 0.999 | PDE4B: 0.998 | PDE4A: 0.993
- PCNT (pericentrin): 0.983 | GSK3B: 0.977 | DIXDC1: 0.961
- DRD2 (dopamine D2 receptor): 0.958 | PAFAH1B1 (= LIS1): 0.954
- DTNBP1 (dysbindin, itself a schizophrenia risk gene): 0.953
Cross-check against literature: 3 of 4 predicted partners confirmed (NDE1, NDEL1, LIS1 under official symbol PAFAH1B1) plus PDE4B. FEZ1 and Kalirin-7/TRIO not present at this threshold. New findings: PDE4A, GSK3B, DRD2, DTNBP1 (second independent schizophrenia risk gene linked to DISC1), PCNT (supports centrosomal role, Bradshaw et al. 2008).
Additional cross-links among interactors themselves: DIXDC1-NDEL1 (0.841), DIXDC1-NDE1 (0.449), DRD2-DTNBP1 (0.671), DRD2-GSK3B (0.458) - confirms DISC1 sits within an interconnected functional module, not an isolated star network.</t>
  </si>
  <si>
    <t xml:space="preserve">STRING v12, string-db.org (page saved to Zotero, 2026-09-13); Szklarczyk et al., 2023, Nucleic Acids Research, 51(D1):D638-D646</t>
  </si>
  <si>
    <t xml:space="preserve">Set confidence ≥0.7, export network image + interactor table</t>
  </si>
  <si>
    <t xml:space="preserve">Confirm NDE1/NDEL1/LIS1, PDE4B/PDE4D, FEZ1, Kalirin-7/TRIO present</t>
  </si>
  <si>
    <t xml:space="preserve">Confirmed at STRING default confidence threshold (0.4+): NDE1 (0.999), NDEL1 (0.999), PAFAH1B1/LIS1 (0.954), PDE4B (0.998) - all 4 present and matching literature predictions. FEZ1 and Kalirin-7/TRIO not present in the top-10 interactor list at this threshold; may require a lower confidence cutoff or may reflect weaker/indirect evidence in STRING's current database version compared to the original literature sources.</t>
  </si>
  <si>
    <t xml:space="preserve">Find pathway map ID containing PDE4B (cAMP signaling)</t>
  </si>
  <si>
    <t xml:space="preserve">https://www.genome.jp/kegg/pathway.html</t>
  </si>
  <si>
    <t xml:space="preserve">KEGG pathway search for "cAMP signaling pathway" returned map04024 (human), described as involving hormones, neurotransmitters, and other signaling molecules, with cAMP regulating pivotal physiological processes. Direct keyword search for "PDE4B" returned no hits, likely because KEGG's text search indexes pathway descriptions rather than every individual gene member - phosphodiesterase family enzymes are standard components of cAMP signaling pathways generally. This independently corroborates the literature review's central claim (Bradshaw et al., 2008) that DISC1's interaction with PDE4B places it directly within cAMP signaling machinery.</t>
  </si>
  <si>
    <t xml:space="preserve">KEGG PATHWAY Database, map04024; Kanehisa &amp; Goto, 2000, Nucleic Acids Research, 28:27-30</t>
  </si>
  <si>
    <t xml:space="preserve">Run GO enrichment</t>
  </si>
  <si>
    <t xml:space="preserve">biit.cs.ut.ee/gprofiler</t>
  </si>
  <si>
    <t xml:space="preserve">Paste STRING interactor list into enrichment tool</t>
  </si>
  <si>
    <t xml:space="preserve">g:Profiler GO enrichment run on 10 DISC1 interactors (NDE1, NDEL1, PDE4B, PDE4A, PCNT, GSK3B, DIXDC1, DRD2, PAFAH1B1, DTNBP1), organism Homo sapiens. 84 GO:Biological Process terms returned; top hits:
- telencephalon development (padj 1.05x10^-6) - strongest hit overall, direct neurodevelopmental signature
- vesicle transport along microtubule (5.35x10^-6), microtubule-based process (7.48x10^-5), centrosome localization (4.92x10^-4), mitotic centrosome separation (2.16x10^-2) - cytoskeletal/centrosomal transport cluster, consistent with NDE1/NDEL1/LIS1/PCNT migration machinery
- G protein-coupled dopamine receptor signaling (5.89x10^-4), regulation of dopamine secretion (4.97x10^-2) - DRD2 contribution
- cell morphogenesis involved in neuron differentiation (4.30x10^-3), CNS neuron development (1.19x10^-2), regulation of neuron projection development (3.72x10^-2)
- cAMP catabolic process (1.07x10^-2); GO:Molecular Function also showed cAMP binding (1.22x10^-2) and 3',5'-cyclic-GMP phosphodiesterase activity (1.12x10^-2)
CONCLUSION: predicted phenotype signature CONFIRMED. Enrichment produces a clear neurodevelopmental/cytoskeletal-transport/cAMP-signaling profile, not a proliferative or metabolic one - directly matching the hypothesis from the literature review (Section 5 of the proposal) and contrasting with an enzyme-target project like Pten.</t>
  </si>
  <si>
    <t xml:space="preserve">g:Profiler (biit.cs.ut.ee/gprofiler), version e114_eg62_p19_27110d83, run 2026-09-13; Ashburner et al., 2000, Nature Genetics, 25:25-29 (Gene Ontology)</t>
  </si>
  <si>
    <t xml:space="preserve">Run GO enrichment (Biological Process)</t>
  </si>
  <si>
    <t xml:space="preserve">Record top 5-10 enriched terms</t>
  </si>
  <si>
    <t xml:space="preserve">Write plain-language predicted phenotype paragraph</t>
  </si>
  <si>
    <t xml:space="preserve">Extract actual phenotypes</t>
  </si>
  <si>
    <t xml:space="preserve">Extract actual recorded Disc1 mutant phenotypes from MGI/IMPC</t>
  </si>
  <si>
    <t xml:space="preserve">done</t>
  </si>
  <si>
    <t xml:space="preserve">IMPC Disc1 phenotype summary: 20/24 physiological systems tested. 8 systems significantly impacted by the knockout: Vision/eye, Nervous system, Behavior/neurological, Immune system, Hematopoietic system, Renal/urinary system, Cardiovascular system, Growth/size/body region. 12 systems showed no significant impact.
PREDICTED vs ACTUAL comparison:
- PREDICTED (Stage 5 GO enrichment): neurodevelopmental signature - telencephalon development, CNS neuron development, neuron projection regulation, cytoskeletal/centrosome transport, cAMP signaling, dopamine signaling.
- ACTUAL (IMPC): Nervous system AND Behavior/neurological both confirmed as significantly impacted systems - directly matching the predicted neurodevelopmental signature.
- Additional literature confirmation: Hikida et al. (2007) specifically reported prepulse inhibition deficits in DISC1 dominant-negative mice, aligning with the "Behavior/neurological" significant-impact flag here.
CONCLUSION: prediction validated. The computational pipeline (network analysis -&gt; GO enrichment) correctly anticipated the real, independently-measured phenotypic outcome. Note: Vision/eye, immune, renal, cardiovascular, and growth systems were also significantly impacted but were NOT predicted by the network/GO analysis - this is an honest limitation to report, since the interactor-based prediction captured the neurological signature but missed these non-neurological systemic effects, suggesting DISC1 (or this specific knockout allele) has pleiotropic effects beyond what a pure protein-interaction network can anticipate.</t>
  </si>
  <si>
    <t xml:space="preserve">IMPC (mousephenotype.org), Disc1 MGI:2447658; Hikida et al., 2007, PNAS, 104(36):14501-14506</t>
  </si>
  <si>
    <t xml:space="preserve">Build predicted-vs-actual comparison table</t>
  </si>
  <si>
    <t xml:space="preserve">saved as html in main folder</t>
  </si>
  <si>
    <t xml:space="preserve">Write discussion: agreement/disagreement + why</t>
  </si>
  <si>
    <t xml:space="preserve">AGREEMENT: predicted neurological/behavioral signature directly confirmed by IMPC's Nervous system and Behavior/neurological significant-impact flags, further supported by Hikida et al. (2007)'s prepulse inhibition finding.
DISAGREEMENT/LIMITATION: 6 additional significantly-impacted systems (vision, immune, hematopoietic, renal, cardiovascular, growth) were NOT anticipated by the network/GO-based prediction. This is expected and honest: a protein-interaction-network approach captures a gene's molecular neighborhood, but cannot fully anticipate pleiotropic effects arising from a gene's role in multiple unrelated tissues. This limitation is worth stating plainly rather than treating the prediction as complete.</t>
  </si>
  <si>
    <t xml:space="preserve">Pull deliverables into final write-up</t>
  </si>
  <si>
    <t xml:space="preserve">Pull all 6 stage deliverables into final write-up</t>
  </si>
  <si>
    <t xml:space="preserve">Add any new sources found along the way to reference list</t>
  </si>
  <si>
    <t xml:space="preserve">Proofread: every claim has a citation</t>
  </si>
  <si>
    <t xml:space="preserve">Update Methodology section from future tense to past tense</t>
  </si>
  <si>
    <t xml:space="preserve">Citation</t>
  </si>
  <si>
    <t xml:space="preserve">Type</t>
  </si>
  <si>
    <t xml:space="preserve">Used In (Stage)</t>
  </si>
  <si>
    <t xml:space="preserve">Link / DOI</t>
  </si>
  <si>
    <t xml:space="preserve">St Clair D, et al. Association within a family of a balanced autosomal translocation with major mental illness. Lancet. 1990;336(8706):13–16.</t>
  </si>
  <si>
    <t xml:space="preserve">Paper</t>
  </si>
  <si>
    <t xml:space="preserve">Introduction, Stage 1</t>
  </si>
  <si>
    <t xml:space="preserve">Millar JK, et al. Disruption of two novel genes by a translocation co-segregating with schizophrenia. Hum Mol Genet. 2000;9(9):1415–1423.</t>
  </si>
  <si>
    <t xml:space="preserve">Blackwood DH, et al. Schizophrenia and affective disorders—cosegregation with a translocation at chromosome 1q42. Am J Hum Genet. 2001;69(2):428–433.</t>
  </si>
  <si>
    <t xml:space="preserve">Introduction</t>
  </si>
  <si>
    <t xml:space="preserve">Ma L, et al. Cloning and characterization of Disc1, the mouse ortholog of DISC1. Genomics. 2002;80(6):662–672.</t>
  </si>
  <si>
    <t xml:space="preserve">Stage 2</t>
  </si>
  <si>
    <t xml:space="preserve">Clapcote SJ, et al. Behavioral phenotypes of Disc1 missense mutations in mice. Neuron. 2007;54(3):387–402.</t>
  </si>
  <si>
    <t xml:space="preserve">Review of Literature, Stage 6</t>
  </si>
  <si>
    <t xml:space="preserve">Hikida T, et al. Dominant-negative DISC1 transgenic mice display schizophrenia-associated phenotypes. PNAS. 2007;104(36):14501–14506.</t>
  </si>
  <si>
    <t xml:space="preserve">Stage 6</t>
  </si>
  <si>
    <t xml:space="preserve">Bradshaw NJ, et al. DISC1, PDE4B, and NDE1 at the centrosome and synapse. Biochem Biophys Res Commun. 2008;377(4):1091–1096.</t>
  </si>
  <si>
    <t xml:space="preserve">Stage 4</t>
  </si>
  <si>
    <t xml:space="preserve">Soares DC, et al. DISC1: structure, function, and therapeutic potential for major mental illness. ACS Chem Neurosci. 2011;2(11):609–632.</t>
  </si>
  <si>
    <t xml:space="preserve">Mouse Genome Informatics (MGI). Disc1 Gene Detail, MGI:2447658.</t>
  </si>
  <si>
    <t xml:space="preserve">Database</t>
  </si>
  <si>
    <t xml:space="preserve">Stage 1, Stage 6</t>
  </si>
  <si>
    <t xml:space="preserve">Dickinson ME, et al. High-throughput discovery of novel developmental phenotypes. Nature. 2016;537(7621):508–514.</t>
  </si>
  <si>
    <t xml:space="preserve">Szklarczyk D, et al. The STRING database in 2023. Nucleic Acids Research. 2023;51(D1):D638–D646.</t>
  </si>
  <si>
    <t xml:space="preserve">Paper/Tool</t>
  </si>
  <si>
    <t xml:space="preserve">Kanehisa M, Goto S. KEGG: Kyoto Encyclopedia of Genes and Genomes. Nucleic Acids Research. 2000;28(1):27–30.</t>
  </si>
  <si>
    <t xml:space="preserve">genome.jp/kegg</t>
  </si>
  <si>
    <t xml:space="preserve">Ashburner M, et al. Gene ontology: tool for the unification of biology. Nature Genetics. 2000;25(1):25–29.</t>
  </si>
  <si>
    <t xml:space="preserve">Stage 5</t>
  </si>
  <si>
    <t xml:space="preserve">Jinek M, et al. A programmable dual-RNA-guided DNA endonuclease in adaptive bacterial immunity. Science. 2012;337(6096):816–821.</t>
  </si>
  <si>
    <t xml:space="preserve">Stage 3</t>
  </si>
  <si>
    <t xml:space="preserve">McLaren W, et al. The Ensembl Variant Effect Predictor. Genome Biology. 2016;17:122.</t>
  </si>
  <si>
    <t xml:space="preserve">Jumper J, et al. Highly accurate protein structure prediction with AlphaFold. Nature. 2021;596:583–589.</t>
  </si>
</sst>
</file>

<file path=xl/styles.xml><?xml version="1.0" encoding="utf-8"?>
<styleSheet xmlns="http://schemas.openxmlformats.org/spreadsheetml/2006/main">
  <numFmts count="4">
    <numFmt numFmtId="164" formatCode="General"/>
    <numFmt numFmtId="165" formatCode="0%"/>
    <numFmt numFmtId="166" formatCode="dd/mm/yyyy"/>
    <numFmt numFmtId="167" formatCode="yyyy\-mm\-dd"/>
  </numFmts>
  <fonts count="15">
    <font>
      <sz val="11"/>
      <color theme="1"/>
      <name val="Calibri"/>
      <family val="2"/>
      <charset val="1"/>
    </font>
    <font>
      <sz val="10"/>
      <name val="Arial"/>
      <family val="0"/>
    </font>
    <font>
      <sz val="10"/>
      <name val="Arial"/>
      <family val="0"/>
    </font>
    <font>
      <sz val="10"/>
      <name val="Arial"/>
      <family val="0"/>
    </font>
    <font>
      <b val="true"/>
      <sz val="18"/>
      <color rgb="FF1B3A4B"/>
      <name val="Arial"/>
      <family val="0"/>
      <charset val="1"/>
    </font>
    <font>
      <i val="true"/>
      <sz val="11"/>
      <color rgb="FF5B6B70"/>
      <name val="Arial"/>
      <family val="0"/>
      <charset val="1"/>
    </font>
    <font>
      <b val="true"/>
      <sz val="12"/>
      <color rgb="FF1B3A4B"/>
      <name val="Arial"/>
      <family val="0"/>
      <charset val="1"/>
    </font>
    <font>
      <sz val="10.5"/>
      <color rgb="FF5B6B70"/>
      <name val="Arial"/>
      <family val="0"/>
      <charset val="1"/>
    </font>
    <font>
      <b val="true"/>
      <sz val="11"/>
      <color rgb="FFFFFFFF"/>
      <name val="Arial"/>
      <family val="0"/>
      <charset val="1"/>
    </font>
    <font>
      <sz val="11"/>
      <color rgb="FF1B3A4B"/>
      <name val="Arial"/>
      <family val="0"/>
      <charset val="1"/>
    </font>
    <font>
      <i val="true"/>
      <sz val="10"/>
      <color rgb="FF7A7A7A"/>
      <name val="Arial"/>
      <family val="0"/>
      <charset val="1"/>
    </font>
    <font>
      <sz val="10.5"/>
      <color rgb="FF1B3A4B"/>
      <name val="Arial"/>
      <family val="0"/>
      <charset val="1"/>
    </font>
    <font>
      <b val="true"/>
      <sz val="10"/>
      <color rgb="FFD68C45"/>
      <name val="Arial"/>
      <family val="0"/>
      <charset val="1"/>
    </font>
    <font>
      <sz val="10"/>
      <color rgb="FF1B3A4B"/>
      <name val="Arial"/>
      <family val="0"/>
      <charset val="1"/>
    </font>
    <font>
      <sz val="10"/>
      <color rgb="FFAAAAAA"/>
      <name val="Arial"/>
      <family val="0"/>
      <charset val="1"/>
    </font>
  </fonts>
  <fills count="8">
    <fill>
      <patternFill patternType="none"/>
    </fill>
    <fill>
      <patternFill patternType="gray125"/>
    </fill>
    <fill>
      <patternFill patternType="solid">
        <fgColor rgb="FF1B3A4B"/>
        <bgColor rgb="FF003366"/>
      </patternFill>
    </fill>
    <fill>
      <patternFill patternType="solid">
        <fgColor rgb="FFF4F6F5"/>
        <bgColor rgb="FFFFFFFF"/>
      </patternFill>
    </fill>
    <fill>
      <patternFill patternType="solid">
        <fgColor rgb="FFFFFFFF"/>
        <bgColor rgb="FFF4F6F5"/>
      </patternFill>
    </fill>
    <fill>
      <patternFill patternType="solid">
        <fgColor rgb="FFD68C45"/>
        <bgColor rgb="FFFF9900"/>
      </patternFill>
    </fill>
    <fill>
      <patternFill patternType="solid">
        <fgColor rgb="FFE9E9E9"/>
        <bgColor rgb="FFF4F6F5"/>
      </patternFill>
    </fill>
    <fill>
      <patternFill patternType="solid">
        <fgColor rgb="FFFFF6CC"/>
        <bgColor rgb="FFF4F6F5"/>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5" fontId="9" fillId="3" borderId="1" xfId="0" applyFont="true" applyBorder="true" applyAlignment="true" applyProtection="false">
      <alignment horizontal="center"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5" fontId="8" fillId="5" borderId="1" xfId="0" applyFont="true" applyBorder="true" applyAlignment="true" applyProtection="false">
      <alignment horizontal="center" vertical="bottom" textRotation="0" wrapText="false" indent="0" shrinkToFit="false"/>
      <protection locked="true" hidden="false"/>
    </xf>
    <xf numFmtId="164" fontId="0" fillId="5" borderId="1" xfId="0" applyFont="fals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10" fillId="6"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11" fillId="7" borderId="1" xfId="0" applyFont="true" applyBorder="true" applyAlignment="true" applyProtection="false">
      <alignment horizontal="general" vertical="center" textRotation="0" wrapText="true" indent="0" shrinkToFit="false"/>
      <protection locked="true" hidden="false"/>
    </xf>
    <xf numFmtId="166" fontId="11" fillId="7" borderId="1" xfId="0" applyFont="true" applyBorder="true" applyAlignment="true" applyProtection="false">
      <alignment horizontal="general" vertical="center" textRotation="0" wrapText="true" indent="0" shrinkToFit="false"/>
      <protection locked="true" hidden="false"/>
    </xf>
    <xf numFmtId="164" fontId="11" fillId="7" borderId="2"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7" fontId="11" fillId="7"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A7A7A"/>
      <rgbColor rgb="FF9999FF"/>
      <rgbColor rgb="FF993366"/>
      <rgbColor rgb="FFFFF6CC"/>
      <rgbColor rgb="FFF4F6F5"/>
      <rgbColor rgb="FF660066"/>
      <rgbColor rgb="FFD68C45"/>
      <rgbColor rgb="FF0066CC"/>
      <rgbColor rgb="FFD9D9D9"/>
      <rgbColor rgb="FF000080"/>
      <rgbColor rgb="FFFF00FF"/>
      <rgbColor rgb="FFFFFF00"/>
      <rgbColor rgb="FF00FFFF"/>
      <rgbColor rgb="FF800080"/>
      <rgbColor rgb="FF800000"/>
      <rgbColor rgb="FF008080"/>
      <rgbColor rgb="FF0000FF"/>
      <rgbColor rgb="FF00CCFF"/>
      <rgbColor rgb="FFE9E9E9"/>
      <rgbColor rgb="FFCCFFCC"/>
      <rgbColor rgb="FFFFFF99"/>
      <rgbColor rgb="FF99CCFF"/>
      <rgbColor rgb="FFFF99CC"/>
      <rgbColor rgb="FFCC99FF"/>
      <rgbColor rgb="FFFFCC99"/>
      <rgbColor rgb="FF3366FF"/>
      <rgbColor rgb="FF33CCCC"/>
      <rgbColor rgb="FF99CC00"/>
      <rgbColor rgb="FFFFCC00"/>
      <rgbColor rgb="FFFF9900"/>
      <rgbColor rgb="FFFF6600"/>
      <rgbColor rgb="FF5B6B70"/>
      <rgbColor rgb="FFAAAAAA"/>
      <rgbColor rgb="FF003366"/>
      <rgbColor rgb="FF339966"/>
      <rgbColor rgb="FF003300"/>
      <rgbColor rgb="FF333300"/>
      <rgbColor rgb="FF993300"/>
      <rgbColor rgb="FF993366"/>
      <rgbColor rgb="FF333399"/>
      <rgbColor rgb="FF1B3A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hyperlink" Target="https://www.genome.jp/kegg/pathway.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0"/>
  <sheetViews>
    <sheetView showFormulas="false" showGridLines="false" showRowColHeaders="true" showZeros="true" rightToLeft="false" tabSelected="false" showOutlineSymbols="true" defaultGridColor="true" view="normal" topLeftCell="A7" colorId="64" zoomScale="55" zoomScaleNormal="55" zoomScalePageLayoutView="100" workbookViewId="0">
      <selection pane="topLeft" activeCell="A7" activeCellId="0" sqref="A7"/>
    </sheetView>
  </sheetViews>
  <sheetFormatPr defaultColWidth="8.6328125" defaultRowHeight="14.25" customHeight="false"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46"/>
  </cols>
  <sheetData>
    <row r="1" customFormat="false" ht="22.05" hidden="false" customHeight="false" outlineLevel="0" collapsed="false">
      <c r="A1" s="1" t="s">
        <v>0</v>
      </c>
    </row>
    <row r="2" customFormat="false" ht="14.25" hidden="false" customHeight="false" outlineLevel="0" collapsed="false">
      <c r="A2" s="2" t="s">
        <v>1</v>
      </c>
    </row>
    <row r="4" customFormat="false" ht="15" hidden="false" customHeight="false" outlineLevel="0" collapsed="false">
      <c r="A4" s="3" t="s">
        <v>2</v>
      </c>
    </row>
    <row r="5" customFormat="false" ht="14.25" hidden="false" customHeight="false" outlineLevel="0" collapsed="false">
      <c r="A5" s="4" t="s">
        <v>3</v>
      </c>
      <c r="B5" s="4"/>
      <c r="C5" s="4"/>
      <c r="D5" s="4"/>
      <c r="E5" s="4"/>
    </row>
    <row r="6" customFormat="false" ht="14.25" hidden="false" customHeight="false" outlineLevel="0" collapsed="false">
      <c r="A6" s="4" t="s">
        <v>4</v>
      </c>
      <c r="B6" s="4"/>
      <c r="C6" s="4"/>
      <c r="D6" s="4"/>
      <c r="E6" s="4"/>
    </row>
    <row r="7" customFormat="false" ht="14.25" hidden="false" customHeight="false" outlineLevel="0" collapsed="false">
      <c r="A7" s="4" t="s">
        <v>5</v>
      </c>
      <c r="B7" s="4"/>
      <c r="C7" s="4"/>
      <c r="D7" s="4"/>
      <c r="E7" s="4"/>
    </row>
    <row r="8" customFormat="false" ht="14.25" hidden="false" customHeight="false" outlineLevel="0" collapsed="false">
      <c r="A8" s="4" t="s">
        <v>6</v>
      </c>
      <c r="B8" s="4"/>
      <c r="C8" s="4"/>
      <c r="D8" s="4"/>
      <c r="E8" s="4"/>
    </row>
    <row r="9" customFormat="false" ht="14.25" hidden="false" customHeight="false" outlineLevel="0" collapsed="false">
      <c r="A9" s="4" t="s">
        <v>7</v>
      </c>
      <c r="B9" s="4"/>
      <c r="C9" s="4"/>
      <c r="D9" s="4"/>
      <c r="E9" s="4"/>
    </row>
    <row r="10" customFormat="false" ht="14.25" hidden="false" customHeight="false" outlineLevel="0" collapsed="false">
      <c r="A10" s="4" t="s">
        <v>8</v>
      </c>
      <c r="B10" s="4"/>
      <c r="C10" s="4"/>
      <c r="D10" s="4"/>
      <c r="E10" s="4"/>
    </row>
    <row r="12" customFormat="false" ht="14.25" hidden="false" customHeight="false" outlineLevel="0" collapsed="false">
      <c r="A12" s="5" t="s">
        <v>9</v>
      </c>
      <c r="B12" s="5" t="s">
        <v>10</v>
      </c>
      <c r="C12" s="5" t="s">
        <v>11</v>
      </c>
      <c r="D12" s="5" t="s">
        <v>12</v>
      </c>
      <c r="E12" s="5" t="s">
        <v>13</v>
      </c>
    </row>
    <row r="13" customFormat="false" ht="14.25" hidden="false" customHeight="false" outlineLevel="0" collapsed="false">
      <c r="A13" s="6" t="s">
        <v>14</v>
      </c>
      <c r="B13" s="7" t="n">
        <v>3</v>
      </c>
      <c r="C13" s="7" t="n">
        <f aca="false">COUNTIF('Stage 1 - Target'!D3:D5,"Done")</f>
        <v>3</v>
      </c>
      <c r="D13" s="8" t="n">
        <f aca="false">IFERROR(C13/B13,0)</f>
        <v>1</v>
      </c>
      <c r="E13" s="9"/>
    </row>
    <row r="14" customFormat="false" ht="14.25" hidden="false" customHeight="false" outlineLevel="0" collapsed="false">
      <c r="A14" s="10" t="s">
        <v>15</v>
      </c>
      <c r="B14" s="11" t="n">
        <v>4</v>
      </c>
      <c r="C14" s="11" t="n">
        <f aca="false">COUNTIF('Stage 2 - Sequence-Structure'!D3:D6,"Done")</f>
        <v>4</v>
      </c>
      <c r="D14" s="12" t="n">
        <f aca="false">IFERROR(C14/B14,0)</f>
        <v>1</v>
      </c>
      <c r="E14" s="13"/>
    </row>
    <row r="15" customFormat="false" ht="14.25" hidden="false" customHeight="false" outlineLevel="0" collapsed="false">
      <c r="A15" s="6" t="s">
        <v>16</v>
      </c>
      <c r="B15" s="7" t="n">
        <v>4</v>
      </c>
      <c r="C15" s="7" t="n">
        <f aca="false">COUNTIF('Stage 3 - KO Modeling'!D3:D6,"Done")</f>
        <v>4</v>
      </c>
      <c r="D15" s="8" t="n">
        <f aca="false">IFERROR(C15/B15,0)</f>
        <v>1</v>
      </c>
      <c r="E15" s="9"/>
    </row>
    <row r="16" customFormat="false" ht="14.25" hidden="false" customHeight="false" outlineLevel="0" collapsed="false">
      <c r="A16" s="10" t="s">
        <v>17</v>
      </c>
      <c r="B16" s="11" t="n">
        <v>4</v>
      </c>
      <c r="C16" s="11" t="n">
        <f aca="false">COUNTIF('Stage 4 - Network Analysis'!D3:D6,"Done")</f>
        <v>4</v>
      </c>
      <c r="D16" s="12" t="n">
        <f aca="false">IFERROR(C16/B16,0)</f>
        <v>1</v>
      </c>
      <c r="E16" s="13"/>
    </row>
    <row r="17" customFormat="false" ht="14.25" hidden="false" customHeight="false" outlineLevel="0" collapsed="false">
      <c r="A17" s="6" t="s">
        <v>18</v>
      </c>
      <c r="B17" s="7" t="n">
        <v>4</v>
      </c>
      <c r="C17" s="7" t="n">
        <f aca="false">COUNTIF('Stage 5 - Phenotype Prediction'!D3:D6,"Done")</f>
        <v>1</v>
      </c>
      <c r="D17" s="8" t="n">
        <f aca="false">IFERROR(C17/B17,0)</f>
        <v>0.25</v>
      </c>
      <c r="E17" s="9"/>
    </row>
    <row r="18" customFormat="false" ht="14.25" hidden="false" customHeight="false" outlineLevel="0" collapsed="false">
      <c r="A18" s="10" t="s">
        <v>19</v>
      </c>
      <c r="B18" s="11" t="n">
        <v>3</v>
      </c>
      <c r="C18" s="11" t="n">
        <f aca="false">COUNTIF('Stage 6 - Validation'!D3:D5,"Done")</f>
        <v>3</v>
      </c>
      <c r="D18" s="12" t="n">
        <f aca="false">IFERROR(C18/B18,0)</f>
        <v>1</v>
      </c>
      <c r="E18" s="13"/>
    </row>
    <row r="19" customFormat="false" ht="14.25" hidden="false" customHeight="false" outlineLevel="0" collapsed="false">
      <c r="A19" s="6" t="s">
        <v>20</v>
      </c>
      <c r="B19" s="7" t="n">
        <v>4</v>
      </c>
      <c r="C19" s="7" t="n">
        <f aca="false">COUNTIF('Final Assembly'!D3:D6,"Done")</f>
        <v>0</v>
      </c>
      <c r="D19" s="8" t="n">
        <f aca="false">IFERROR(C19/B19,0)</f>
        <v>0</v>
      </c>
      <c r="E19" s="9"/>
    </row>
    <row r="20" customFormat="false" ht="14.25" hidden="false" customHeight="false" outlineLevel="0" collapsed="false">
      <c r="A20" s="14" t="s">
        <v>21</v>
      </c>
      <c r="B20" s="15" t="n">
        <f aca="false">SUM(B13:B19)</f>
        <v>26</v>
      </c>
      <c r="C20" s="15" t="n">
        <f aca="false">SUM(C13:C19)</f>
        <v>19</v>
      </c>
      <c r="D20" s="16" t="n">
        <f aca="false">IFERROR(C20/B20,0)</f>
        <v>0.730769230769231</v>
      </c>
      <c r="E20" s="17"/>
    </row>
  </sheetData>
  <mergeCells count="6">
    <mergeCell ref="A5:E5"/>
    <mergeCell ref="A6:E6"/>
    <mergeCell ref="A7:E7"/>
    <mergeCell ref="A8:E8"/>
    <mergeCell ref="A9:E9"/>
    <mergeCell ref="A10:E1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
  <sheetViews>
    <sheetView showFormulas="false" showGridLines="false" showRowColHeaders="true" showZeros="true" rightToLeft="false" tabSelected="false" showOutlineSymbols="true" defaultGridColor="true" view="normal" topLeftCell="D1" colorId="64" zoomScale="55" zoomScaleNormal="55" zoomScalePageLayoutView="100" workbookViewId="0">
      <pane xSplit="0" ySplit="1" topLeftCell="A2" activePane="bottomLeft" state="frozen"/>
      <selection pane="topLeft" activeCell="D1" activeCellId="0" sqref="D1"/>
      <selection pane="bottomLeft" activeCell="E9" activeCellId="0" sqref="E9"/>
    </sheetView>
  </sheetViews>
  <sheetFormatPr defaultColWidth="8.6328125" defaultRowHeight="14.2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26"/>
    <col collapsed="false" customWidth="true" hidden="false" outlineLevel="0" max="4" min="4" style="0" width="13"/>
    <col collapsed="false" customWidth="true" hidden="false" outlineLevel="0" max="5" min="5" style="0" width="12"/>
    <col collapsed="false" customWidth="true" hidden="false" outlineLevel="0" max="6" min="6" style="0" width="44"/>
    <col collapsed="false" customWidth="true" hidden="false" outlineLevel="0" max="7" min="7" style="0" width="30"/>
  </cols>
  <sheetData>
    <row r="1" customFormat="false" ht="19.5" hidden="false" customHeight="true" outlineLevel="0" collapsed="false">
      <c r="A1" s="18" t="s">
        <v>22</v>
      </c>
      <c r="B1" s="18" t="s">
        <v>23</v>
      </c>
      <c r="C1" s="18" t="s">
        <v>24</v>
      </c>
      <c r="D1" s="18" t="s">
        <v>25</v>
      </c>
      <c r="E1" s="18" t="s">
        <v>26</v>
      </c>
      <c r="F1" s="18" t="s">
        <v>27</v>
      </c>
      <c r="G1" s="18" t="s">
        <v>28</v>
      </c>
    </row>
    <row r="2" customFormat="false" ht="33.75" hidden="false" customHeight="true" outlineLevel="0" collapsed="false">
      <c r="A2" s="19" t="s">
        <v>29</v>
      </c>
      <c r="B2" s="19" t="s">
        <v>30</v>
      </c>
      <c r="C2" s="19" t="s">
        <v>31</v>
      </c>
      <c r="D2" s="19" t="s">
        <v>11</v>
      </c>
      <c r="E2" s="19" t="s">
        <v>32</v>
      </c>
      <c r="F2" s="19" t="s">
        <v>33</v>
      </c>
      <c r="G2" s="19" t="s">
        <v>34</v>
      </c>
    </row>
    <row r="3" customFormat="false" ht="39.75" hidden="false" customHeight="true" outlineLevel="0" collapsed="false">
      <c r="A3" s="20" t="n">
        <v>1</v>
      </c>
      <c r="B3" s="20" t="s">
        <v>35</v>
      </c>
      <c r="C3" s="20" t="s">
        <v>31</v>
      </c>
      <c r="D3" s="21" t="s">
        <v>11</v>
      </c>
      <c r="E3" s="22" t="n">
        <v>46255</v>
      </c>
      <c r="F3" s="21" t="s">
        <v>36</v>
      </c>
      <c r="G3" s="21" t="s">
        <v>37</v>
      </c>
    </row>
    <row r="4" customFormat="false" ht="39.75" hidden="false" customHeight="true" outlineLevel="0" collapsed="false">
      <c r="A4" s="20" t="n">
        <v>2</v>
      </c>
      <c r="B4" s="20" t="s">
        <v>38</v>
      </c>
      <c r="C4" s="20" t="s">
        <v>39</v>
      </c>
      <c r="D4" s="21" t="s">
        <v>11</v>
      </c>
      <c r="E4" s="22" t="n">
        <v>46255</v>
      </c>
      <c r="F4" s="21" t="s">
        <v>40</v>
      </c>
      <c r="G4" s="21" t="s">
        <v>41</v>
      </c>
    </row>
    <row r="5" customFormat="false" ht="39.75" hidden="false" customHeight="true" outlineLevel="0" collapsed="false">
      <c r="A5" s="20" t="n">
        <v>3</v>
      </c>
      <c r="B5" s="20" t="s">
        <v>42</v>
      </c>
      <c r="C5" s="20" t="s">
        <v>43</v>
      </c>
      <c r="D5" s="21" t="s">
        <v>11</v>
      </c>
      <c r="E5" s="22" t="n">
        <v>46255</v>
      </c>
      <c r="F5" s="21" t="s">
        <v>44</v>
      </c>
      <c r="G5" s="21"/>
    </row>
  </sheetData>
  <dataValidations count="1">
    <dataValidation allowBlank="true" errorStyle="stop" operator="between" showDropDown="false" showErrorMessage="false" showInputMessage="false" sqref="D3:D5" type="list">
      <formula1>"Not Started,In Progress,Done,Blocked"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
  <sheetViews>
    <sheetView showFormulas="false" showGridLines="false" showRowColHeaders="true" showZeros="true" rightToLeft="false" tabSelected="false" showOutlineSymbols="true" defaultGridColor="true" view="normal" topLeftCell="C1" colorId="64" zoomScale="55" zoomScaleNormal="55" zoomScalePageLayoutView="100" workbookViewId="0">
      <pane xSplit="0" ySplit="1" topLeftCell="A2" activePane="bottomLeft" state="frozen"/>
      <selection pane="topLeft" activeCell="C1" activeCellId="0" sqref="C1"/>
      <selection pane="bottomLeft" activeCell="D10" activeCellId="0" sqref="D10"/>
    </sheetView>
  </sheetViews>
  <sheetFormatPr defaultColWidth="8.6328125" defaultRowHeight="14.2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26"/>
    <col collapsed="false" customWidth="true" hidden="false" outlineLevel="0" max="4" min="4" style="0" width="13"/>
    <col collapsed="false" customWidth="true" hidden="false" outlineLevel="0" max="5" min="5" style="0" width="12"/>
    <col collapsed="false" customWidth="true" hidden="false" outlineLevel="0" max="6" min="6" style="0" width="44"/>
    <col collapsed="false" customWidth="true" hidden="false" outlineLevel="0" max="7" min="7" style="0" width="30"/>
  </cols>
  <sheetData>
    <row r="1" customFormat="false" ht="19.5" hidden="false" customHeight="true" outlineLevel="0" collapsed="false">
      <c r="A1" s="18" t="s">
        <v>22</v>
      </c>
      <c r="B1" s="18" t="s">
        <v>23</v>
      </c>
      <c r="C1" s="18" t="s">
        <v>24</v>
      </c>
      <c r="D1" s="18" t="s">
        <v>25</v>
      </c>
      <c r="E1" s="18" t="s">
        <v>26</v>
      </c>
      <c r="F1" s="18" t="s">
        <v>27</v>
      </c>
      <c r="G1" s="18" t="s">
        <v>28</v>
      </c>
    </row>
    <row r="2" customFormat="false" ht="33.75" hidden="false" customHeight="true" outlineLevel="0" collapsed="false">
      <c r="A2" s="19" t="s">
        <v>29</v>
      </c>
      <c r="B2" s="19" t="s">
        <v>45</v>
      </c>
      <c r="C2" s="19" t="s">
        <v>46</v>
      </c>
      <c r="D2" s="19" t="s">
        <v>11</v>
      </c>
      <c r="E2" s="19" t="s">
        <v>32</v>
      </c>
      <c r="F2" s="19" t="s">
        <v>47</v>
      </c>
      <c r="G2" s="19" t="s">
        <v>48</v>
      </c>
    </row>
    <row r="3" customFormat="false" ht="39.75" hidden="false" customHeight="true" outlineLevel="0" collapsed="false">
      <c r="A3" s="20" t="n">
        <v>1</v>
      </c>
      <c r="B3" s="20" t="s">
        <v>49</v>
      </c>
      <c r="C3" s="20" t="s">
        <v>46</v>
      </c>
      <c r="D3" s="21" t="s">
        <v>50</v>
      </c>
      <c r="E3" s="22" t="n">
        <v>46255</v>
      </c>
      <c r="F3" s="21" t="s">
        <v>51</v>
      </c>
      <c r="G3" s="21" t="s">
        <v>52</v>
      </c>
    </row>
    <row r="4" customFormat="false" ht="39.75" hidden="false" customHeight="true" outlineLevel="0" collapsed="false">
      <c r="A4" s="20" t="n">
        <v>2</v>
      </c>
      <c r="B4" s="20" t="s">
        <v>53</v>
      </c>
      <c r="C4" s="20" t="s">
        <v>54</v>
      </c>
      <c r="D4" s="21" t="s">
        <v>11</v>
      </c>
      <c r="E4" s="22" t="n">
        <v>46258</v>
      </c>
      <c r="F4" s="21" t="s">
        <v>55</v>
      </c>
      <c r="G4" s="21" t="s">
        <v>56</v>
      </c>
    </row>
    <row r="5" customFormat="false" ht="39.75" hidden="false" customHeight="true" outlineLevel="0" collapsed="false">
      <c r="A5" s="20" t="n">
        <v>3</v>
      </c>
      <c r="B5" s="20" t="s">
        <v>57</v>
      </c>
      <c r="C5" s="20" t="s">
        <v>58</v>
      </c>
      <c r="D5" s="21" t="s">
        <v>11</v>
      </c>
      <c r="E5" s="22" t="n">
        <v>46258</v>
      </c>
      <c r="F5" s="21" t="s">
        <v>59</v>
      </c>
      <c r="G5" s="21" t="s">
        <v>60</v>
      </c>
    </row>
    <row r="6" customFormat="false" ht="39.75" hidden="false" customHeight="true" outlineLevel="0" collapsed="false">
      <c r="A6" s="20" t="n">
        <v>4</v>
      </c>
      <c r="B6" s="20" t="s">
        <v>61</v>
      </c>
      <c r="C6" s="20" t="s">
        <v>62</v>
      </c>
      <c r="D6" s="21" t="s">
        <v>11</v>
      </c>
      <c r="E6" s="22" t="n">
        <v>46258</v>
      </c>
      <c r="F6" s="21" t="s">
        <v>63</v>
      </c>
      <c r="G6" s="21" t="s">
        <v>64</v>
      </c>
    </row>
    <row r="7" customFormat="false" ht="117" hidden="false" customHeight="false" outlineLevel="0" collapsed="false">
      <c r="F7" s="23" t="s">
        <v>65</v>
      </c>
    </row>
  </sheetData>
  <dataValidations count="1">
    <dataValidation allowBlank="true" errorStyle="stop" operator="between" showDropDown="false" showErrorMessage="false" showInputMessage="false" sqref="D3:D6" type="list">
      <formula1>"Not Started,In Progress,Done,Blocked"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6"/>
  <sheetViews>
    <sheetView showFormulas="false" showGridLines="false" showRowColHeaders="true" showZeros="true" rightToLeft="false" tabSelected="false" showOutlineSymbols="true" defaultGridColor="true" view="normal" topLeftCell="F1" colorId="64" zoomScale="55" zoomScaleNormal="55" zoomScalePageLayoutView="100" workbookViewId="0">
      <pane xSplit="0" ySplit="1" topLeftCell="A2" activePane="bottomLeft" state="frozen"/>
      <selection pane="topLeft" activeCell="F1" activeCellId="0" sqref="F1"/>
      <selection pane="bottomLeft" activeCell="G6" activeCellId="0" sqref="G6"/>
    </sheetView>
  </sheetViews>
  <sheetFormatPr defaultColWidth="8.6328125" defaultRowHeight="14.2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26"/>
    <col collapsed="false" customWidth="true" hidden="false" outlineLevel="0" max="4" min="4" style="0" width="13"/>
    <col collapsed="false" customWidth="true" hidden="false" outlineLevel="0" max="5" min="5" style="0" width="12"/>
    <col collapsed="false" customWidth="true" hidden="false" outlineLevel="0" max="6" min="6" style="0" width="44"/>
    <col collapsed="false" customWidth="true" hidden="false" outlineLevel="0" max="7" min="7" style="0" width="30"/>
    <col collapsed="false" customWidth="true" hidden="false" outlineLevel="0" max="8" min="8" style="0" width="25.93"/>
  </cols>
  <sheetData>
    <row r="1" customFormat="false" ht="19.5" hidden="false" customHeight="true" outlineLevel="0" collapsed="false">
      <c r="A1" s="18" t="s">
        <v>22</v>
      </c>
      <c r="B1" s="18" t="s">
        <v>23</v>
      </c>
      <c r="C1" s="18" t="s">
        <v>24</v>
      </c>
      <c r="D1" s="18" t="s">
        <v>25</v>
      </c>
      <c r="E1" s="18" t="s">
        <v>26</v>
      </c>
      <c r="F1" s="18" t="s">
        <v>27</v>
      </c>
      <c r="G1" s="18" t="s">
        <v>28</v>
      </c>
      <c r="H1" s="0" t="s">
        <v>66</v>
      </c>
      <c r="I1" s="0" t="s">
        <v>67</v>
      </c>
      <c r="J1" s="0" t="s">
        <v>68</v>
      </c>
    </row>
    <row r="2" customFormat="false" ht="33.75" hidden="false" customHeight="true" outlineLevel="0" collapsed="false">
      <c r="A2" s="19" t="s">
        <v>29</v>
      </c>
      <c r="B2" s="19" t="s">
        <v>69</v>
      </c>
      <c r="C2" s="19" t="s">
        <v>70</v>
      </c>
      <c r="D2" s="19" t="s">
        <v>71</v>
      </c>
      <c r="E2" s="19" t="s">
        <v>32</v>
      </c>
      <c r="F2" s="19" t="s">
        <v>72</v>
      </c>
      <c r="G2" s="19" t="s">
        <v>73</v>
      </c>
    </row>
    <row r="3" customFormat="false" ht="39.75" hidden="false" customHeight="true" outlineLevel="0" collapsed="false">
      <c r="A3" s="20" t="n">
        <v>1</v>
      </c>
      <c r="B3" s="20" t="s">
        <v>74</v>
      </c>
      <c r="C3" s="20" t="s">
        <v>54</v>
      </c>
      <c r="D3" s="21" t="s">
        <v>11</v>
      </c>
      <c r="E3" s="22" t="n">
        <v>46258</v>
      </c>
      <c r="F3" s="21" t="s">
        <v>75</v>
      </c>
      <c r="G3" s="21" t="s">
        <v>76</v>
      </c>
    </row>
    <row r="4" customFormat="false" ht="39.75" hidden="false" customHeight="true" outlineLevel="0" collapsed="false">
      <c r="A4" s="20" t="n">
        <v>2</v>
      </c>
      <c r="B4" s="20" t="s">
        <v>77</v>
      </c>
      <c r="C4" s="20" t="s">
        <v>54</v>
      </c>
      <c r="D4" s="21" t="s">
        <v>11</v>
      </c>
      <c r="E4" s="22" t="n">
        <v>46258</v>
      </c>
      <c r="F4" s="21" t="s">
        <v>78</v>
      </c>
      <c r="G4" s="21"/>
    </row>
    <row r="5" customFormat="false" ht="39.75" hidden="false" customHeight="true" outlineLevel="0" collapsed="false">
      <c r="A5" s="20" t="n">
        <v>3</v>
      </c>
      <c r="B5" s="20" t="s">
        <v>79</v>
      </c>
      <c r="C5" s="20" t="s">
        <v>70</v>
      </c>
      <c r="D5" s="21" t="s">
        <v>11</v>
      </c>
      <c r="E5" s="22" t="n">
        <v>46258</v>
      </c>
      <c r="F5" s="21" t="s">
        <v>80</v>
      </c>
      <c r="G5" s="21" t="s">
        <v>81</v>
      </c>
      <c r="H5" s="0" t="s">
        <v>82</v>
      </c>
      <c r="I5" s="24" t="s">
        <v>83</v>
      </c>
      <c r="J5" s="0" t="s">
        <v>84</v>
      </c>
    </row>
    <row r="6" customFormat="false" ht="39.75" hidden="false" customHeight="true" outlineLevel="0" collapsed="false">
      <c r="A6" s="20" t="n">
        <v>4</v>
      </c>
      <c r="B6" s="20" t="s">
        <v>85</v>
      </c>
      <c r="C6" s="20" t="s">
        <v>86</v>
      </c>
      <c r="D6" s="21" t="s">
        <v>11</v>
      </c>
      <c r="E6" s="22" t="n">
        <v>46278</v>
      </c>
      <c r="F6" s="21" t="s">
        <v>87</v>
      </c>
      <c r="G6" s="21" t="s">
        <v>84</v>
      </c>
    </row>
  </sheetData>
  <dataValidations count="1">
    <dataValidation allowBlank="true" errorStyle="stop" operator="between" showDropDown="false" showErrorMessage="false" showInputMessage="false" sqref="D3:D6" type="list">
      <formula1>"Not Started,In Progress,Done,Blocked"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
  <sheetViews>
    <sheetView showFormulas="false" showGridLines="false" showRowColHeaders="true" showZeros="true" rightToLeft="false" tabSelected="false" showOutlineSymbols="true" defaultGridColor="true" view="normal" topLeftCell="E1" colorId="64" zoomScale="55" zoomScaleNormal="55" zoomScalePageLayoutView="100" workbookViewId="0">
      <pane xSplit="0" ySplit="1" topLeftCell="A2" activePane="bottomLeft" state="frozen"/>
      <selection pane="topLeft" activeCell="E1" activeCellId="0" sqref="E1"/>
      <selection pane="bottomLeft" activeCell="G10" activeCellId="0" sqref="G10"/>
    </sheetView>
  </sheetViews>
  <sheetFormatPr defaultColWidth="8.6328125" defaultRowHeight="14.2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26"/>
    <col collapsed="false" customWidth="true" hidden="false" outlineLevel="0" max="4" min="4" style="0" width="13"/>
    <col collapsed="false" customWidth="true" hidden="false" outlineLevel="0" max="5" min="5" style="0" width="12"/>
    <col collapsed="false" customWidth="true" hidden="false" outlineLevel="0" max="6" min="6" style="0" width="44"/>
    <col collapsed="false" customWidth="true" hidden="false" outlineLevel="0" max="7" min="7" style="0" width="30"/>
  </cols>
  <sheetData>
    <row r="1" customFormat="false" ht="19.5" hidden="false" customHeight="true" outlineLevel="0" collapsed="false">
      <c r="A1" s="18" t="s">
        <v>22</v>
      </c>
      <c r="B1" s="18" t="s">
        <v>23</v>
      </c>
      <c r="C1" s="18" t="s">
        <v>24</v>
      </c>
      <c r="D1" s="18" t="s">
        <v>25</v>
      </c>
      <c r="E1" s="18" t="s">
        <v>26</v>
      </c>
      <c r="F1" s="18" t="s">
        <v>27</v>
      </c>
      <c r="G1" s="18" t="s">
        <v>28</v>
      </c>
    </row>
    <row r="2" customFormat="false" ht="33.75" hidden="false" customHeight="true" outlineLevel="0" collapsed="false">
      <c r="A2" s="19" t="s">
        <v>29</v>
      </c>
      <c r="B2" s="19" t="s">
        <v>88</v>
      </c>
      <c r="C2" s="19" t="s">
        <v>89</v>
      </c>
      <c r="D2" s="19" t="s">
        <v>90</v>
      </c>
      <c r="E2" s="19"/>
      <c r="F2" s="19"/>
      <c r="G2" s="19"/>
    </row>
    <row r="3" customFormat="false" ht="39.75" hidden="false" customHeight="true" outlineLevel="0" collapsed="false">
      <c r="A3" s="20" t="n">
        <v>1</v>
      </c>
      <c r="B3" s="20" t="s">
        <v>91</v>
      </c>
      <c r="C3" s="20" t="s">
        <v>89</v>
      </c>
      <c r="D3" s="21" t="s">
        <v>11</v>
      </c>
      <c r="E3" s="25" t="n">
        <v>46278</v>
      </c>
      <c r="F3" s="21" t="s">
        <v>92</v>
      </c>
      <c r="G3" s="21" t="s">
        <v>93</v>
      </c>
    </row>
    <row r="4" customFormat="false" ht="39.75" hidden="false" customHeight="true" outlineLevel="0" collapsed="false">
      <c r="A4" s="20" t="n">
        <v>2</v>
      </c>
      <c r="B4" s="20" t="s">
        <v>94</v>
      </c>
      <c r="C4" s="20" t="s">
        <v>89</v>
      </c>
      <c r="D4" s="21" t="s">
        <v>11</v>
      </c>
      <c r="E4" s="25" t="n">
        <v>46278</v>
      </c>
      <c r="F4" s="21"/>
      <c r="G4" s="21"/>
    </row>
    <row r="5" customFormat="false" ht="39.75" hidden="false" customHeight="true" outlineLevel="0" collapsed="false">
      <c r="A5" s="20" t="n">
        <v>3</v>
      </c>
      <c r="B5" s="20" t="s">
        <v>95</v>
      </c>
      <c r="C5" s="20" t="s">
        <v>43</v>
      </c>
      <c r="D5" s="21" t="s">
        <v>11</v>
      </c>
      <c r="E5" s="25" t="n">
        <v>46278</v>
      </c>
      <c r="F5" s="21" t="s">
        <v>96</v>
      </c>
      <c r="G5" s="21" t="s">
        <v>93</v>
      </c>
    </row>
    <row r="6" customFormat="false" ht="39.75" hidden="false" customHeight="true" outlineLevel="0" collapsed="false">
      <c r="A6" s="20" t="n">
        <v>4</v>
      </c>
      <c r="B6" s="20" t="s">
        <v>97</v>
      </c>
      <c r="C6" s="20" t="s">
        <v>98</v>
      </c>
      <c r="D6" s="21" t="s">
        <v>11</v>
      </c>
      <c r="E6" s="25" t="n">
        <v>46278</v>
      </c>
      <c r="F6" s="21" t="s">
        <v>99</v>
      </c>
      <c r="G6" s="21" t="s">
        <v>100</v>
      </c>
    </row>
  </sheetData>
  <dataValidations count="1">
    <dataValidation allowBlank="true" errorStyle="stop" operator="between" showDropDown="false" showErrorMessage="false" showInputMessage="false" sqref="D3:D6" type="list">
      <formula1>"Not Started,In Progress,Done,Blocked"</formula1>
      <formula2>0</formula2>
    </dataValidation>
  </dataValidations>
  <hyperlinks>
    <hyperlink ref="C6" r:id="rId1" display="https://www.genome.jp/kegg/pathway.html"/>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
  <sheetViews>
    <sheetView showFormulas="false" showGridLines="false" showRowColHeaders="true" showZeros="true" rightToLeft="false" tabSelected="false" showOutlineSymbols="true" defaultGridColor="true" view="normal" topLeftCell="H1" colorId="64" zoomScale="55" zoomScaleNormal="55" zoomScalePageLayoutView="100" workbookViewId="0">
      <pane xSplit="0" ySplit="1" topLeftCell="A2" activePane="bottomLeft" state="frozen"/>
      <selection pane="topLeft" activeCell="H1" activeCellId="0" sqref="H1"/>
      <selection pane="bottomLeft" activeCell="F15" activeCellId="0" sqref="F15"/>
    </sheetView>
  </sheetViews>
  <sheetFormatPr defaultColWidth="8.6328125" defaultRowHeight="14.2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26"/>
    <col collapsed="false" customWidth="true" hidden="false" outlineLevel="0" max="4" min="4" style="0" width="13"/>
    <col collapsed="false" customWidth="true" hidden="false" outlineLevel="0" max="5" min="5" style="0" width="12"/>
    <col collapsed="false" customWidth="true" hidden="false" outlineLevel="0" max="6" min="6" style="0" width="44"/>
    <col collapsed="false" customWidth="true" hidden="false" outlineLevel="0" max="7" min="7" style="0" width="30"/>
  </cols>
  <sheetData>
    <row r="1" customFormat="false" ht="19.5" hidden="false" customHeight="true" outlineLevel="0" collapsed="false">
      <c r="A1" s="18" t="s">
        <v>22</v>
      </c>
      <c r="B1" s="18" t="s">
        <v>23</v>
      </c>
      <c r="C1" s="18" t="s">
        <v>24</v>
      </c>
      <c r="D1" s="18" t="s">
        <v>25</v>
      </c>
      <c r="E1" s="18" t="s">
        <v>26</v>
      </c>
      <c r="F1" s="18" t="s">
        <v>27</v>
      </c>
      <c r="G1" s="18" t="s">
        <v>28</v>
      </c>
    </row>
    <row r="2" customFormat="false" ht="33.75" hidden="false" customHeight="true" outlineLevel="0" collapsed="false">
      <c r="A2" s="19" t="s">
        <v>29</v>
      </c>
      <c r="B2" s="19" t="s">
        <v>101</v>
      </c>
      <c r="C2" s="19" t="s">
        <v>102</v>
      </c>
      <c r="D2" s="19" t="s">
        <v>90</v>
      </c>
      <c r="E2" s="19"/>
      <c r="F2" s="19"/>
      <c r="G2" s="19"/>
    </row>
    <row r="3" customFormat="false" ht="39.75" hidden="false" customHeight="true" outlineLevel="0" collapsed="false">
      <c r="A3" s="20" t="n">
        <v>1</v>
      </c>
      <c r="B3" s="20" t="s">
        <v>103</v>
      </c>
      <c r="C3" s="20" t="s">
        <v>102</v>
      </c>
      <c r="D3" s="21" t="s">
        <v>50</v>
      </c>
      <c r="E3" s="25" t="n">
        <v>46278</v>
      </c>
      <c r="F3" s="21" t="s">
        <v>104</v>
      </c>
      <c r="G3" s="21" t="s">
        <v>105</v>
      </c>
    </row>
    <row r="4" customFormat="false" ht="39.75" hidden="false" customHeight="true" outlineLevel="0" collapsed="false">
      <c r="A4" s="20" t="n">
        <v>2</v>
      </c>
      <c r="B4" s="20" t="s">
        <v>106</v>
      </c>
      <c r="C4" s="20" t="s">
        <v>102</v>
      </c>
      <c r="D4" s="21" t="n">
        <v>2</v>
      </c>
      <c r="E4" s="25"/>
      <c r="F4" s="25"/>
      <c r="G4" s="25"/>
    </row>
    <row r="5" customFormat="false" ht="39.75" hidden="false" customHeight="true" outlineLevel="0" collapsed="false">
      <c r="A5" s="20" t="n">
        <v>3</v>
      </c>
      <c r="B5" s="20" t="s">
        <v>107</v>
      </c>
      <c r="C5" s="20" t="s">
        <v>43</v>
      </c>
      <c r="D5" s="21" t="s">
        <v>90</v>
      </c>
      <c r="E5" s="25"/>
      <c r="F5" s="25"/>
      <c r="G5" s="25"/>
    </row>
    <row r="6" customFormat="false" ht="39.75" hidden="false" customHeight="true" outlineLevel="0" collapsed="false">
      <c r="A6" s="20" t="n">
        <v>4</v>
      </c>
      <c r="B6" s="20" t="s">
        <v>108</v>
      </c>
      <c r="C6" s="20" t="s">
        <v>43</v>
      </c>
      <c r="D6" s="21" t="s">
        <v>90</v>
      </c>
      <c r="E6" s="25"/>
      <c r="F6" s="25"/>
      <c r="G6" s="25"/>
    </row>
  </sheetData>
  <mergeCells count="4">
    <mergeCell ref="D3:D6"/>
    <mergeCell ref="E3:E6"/>
    <mergeCell ref="F3:F6"/>
    <mergeCell ref="G3:G6"/>
  </mergeCells>
  <dataValidations count="1">
    <dataValidation allowBlank="true" errorStyle="stop" operator="between" showDropDown="false" showErrorMessage="false" showInputMessage="false" sqref="D3:D6" type="list">
      <formula1>"Not Started,In Progress,Done,Blocked"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
  <sheetViews>
    <sheetView showFormulas="false" showGridLines="false" showRowColHeaders="true" showZeros="true" rightToLeft="false" tabSelected="true" showOutlineSymbols="true" defaultGridColor="true" view="normal" topLeftCell="A1" colorId="64" zoomScale="55" zoomScaleNormal="55" zoomScalePageLayoutView="100" workbookViewId="0">
      <pane xSplit="0" ySplit="1" topLeftCell="A2" activePane="bottomLeft" state="frozen"/>
      <selection pane="topLeft" activeCell="A1" activeCellId="0" sqref="A1"/>
      <selection pane="bottomLeft" activeCell="D5" activeCellId="0" sqref="D5"/>
    </sheetView>
  </sheetViews>
  <sheetFormatPr defaultColWidth="8.6328125" defaultRowHeight="14.2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26"/>
    <col collapsed="false" customWidth="true" hidden="false" outlineLevel="0" max="4" min="4" style="0" width="13"/>
    <col collapsed="false" customWidth="true" hidden="false" outlineLevel="0" max="5" min="5" style="0" width="12"/>
    <col collapsed="false" customWidth="true" hidden="false" outlineLevel="0" max="6" min="6" style="0" width="44"/>
    <col collapsed="false" customWidth="true" hidden="false" outlineLevel="0" max="7" min="7" style="0" width="30"/>
  </cols>
  <sheetData>
    <row r="1" customFormat="false" ht="19.5" hidden="false" customHeight="true" outlineLevel="0" collapsed="false">
      <c r="A1" s="18" t="s">
        <v>22</v>
      </c>
      <c r="B1" s="18" t="s">
        <v>23</v>
      </c>
      <c r="C1" s="18" t="s">
        <v>24</v>
      </c>
      <c r="D1" s="18" t="s">
        <v>25</v>
      </c>
      <c r="E1" s="18" t="s">
        <v>26</v>
      </c>
      <c r="F1" s="18" t="s">
        <v>27</v>
      </c>
      <c r="G1" s="18" t="s">
        <v>28</v>
      </c>
    </row>
    <row r="2" customFormat="false" ht="33.75" hidden="false" customHeight="true" outlineLevel="0" collapsed="false">
      <c r="A2" s="19" t="s">
        <v>29</v>
      </c>
      <c r="B2" s="19" t="s">
        <v>109</v>
      </c>
      <c r="C2" s="19" t="s">
        <v>39</v>
      </c>
      <c r="D2" s="19" t="s">
        <v>90</v>
      </c>
      <c r="E2" s="19"/>
      <c r="F2" s="19"/>
      <c r="G2" s="19"/>
    </row>
    <row r="3" customFormat="false" ht="39.75" hidden="false" customHeight="true" outlineLevel="0" collapsed="false">
      <c r="A3" s="20" t="n">
        <v>1</v>
      </c>
      <c r="B3" s="20" t="s">
        <v>110</v>
      </c>
      <c r="C3" s="20" t="s">
        <v>39</v>
      </c>
      <c r="D3" s="21" t="s">
        <v>111</v>
      </c>
      <c r="E3" s="25" t="n">
        <v>46278</v>
      </c>
      <c r="F3" s="21" t="s">
        <v>112</v>
      </c>
      <c r="G3" s="21" t="s">
        <v>113</v>
      </c>
    </row>
    <row r="4" customFormat="false" ht="39.75" hidden="false" customHeight="true" outlineLevel="0" collapsed="false">
      <c r="A4" s="20" t="n">
        <v>2</v>
      </c>
      <c r="B4" s="20" t="s">
        <v>114</v>
      </c>
      <c r="C4" s="20" t="s">
        <v>43</v>
      </c>
      <c r="D4" s="21" t="s">
        <v>111</v>
      </c>
      <c r="E4" s="21"/>
      <c r="F4" s="21" t="s">
        <v>115</v>
      </c>
      <c r="G4" s="21"/>
    </row>
    <row r="5" customFormat="false" ht="39.75" hidden="false" customHeight="true" outlineLevel="0" collapsed="false">
      <c r="A5" s="20" t="n">
        <v>3</v>
      </c>
      <c r="B5" s="20" t="s">
        <v>116</v>
      </c>
      <c r="C5" s="20" t="s">
        <v>43</v>
      </c>
      <c r="D5" s="21" t="s">
        <v>111</v>
      </c>
      <c r="E5" s="21"/>
      <c r="F5" s="21" t="s">
        <v>117</v>
      </c>
      <c r="G5" s="21"/>
    </row>
  </sheetData>
  <dataValidations count="1">
    <dataValidation allowBlank="true" errorStyle="stop" operator="between" showDropDown="false" showErrorMessage="false" showInputMessage="false" sqref="D3:D5" type="list">
      <formula1>"Not Started,In Progress,Done,Blocked"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328125" defaultRowHeight="14.2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26"/>
    <col collapsed="false" customWidth="true" hidden="false" outlineLevel="0" max="4" min="4" style="0" width="13"/>
    <col collapsed="false" customWidth="true" hidden="false" outlineLevel="0" max="5" min="5" style="0" width="12"/>
    <col collapsed="false" customWidth="true" hidden="false" outlineLevel="0" max="6" min="6" style="0" width="44"/>
    <col collapsed="false" customWidth="true" hidden="false" outlineLevel="0" max="7" min="7" style="0" width="30"/>
  </cols>
  <sheetData>
    <row r="1" customFormat="false" ht="19.5" hidden="false" customHeight="true" outlineLevel="0" collapsed="false">
      <c r="A1" s="18" t="s">
        <v>22</v>
      </c>
      <c r="B1" s="18" t="s">
        <v>23</v>
      </c>
      <c r="C1" s="18" t="s">
        <v>24</v>
      </c>
      <c r="D1" s="18" t="s">
        <v>25</v>
      </c>
      <c r="E1" s="18" t="s">
        <v>26</v>
      </c>
      <c r="F1" s="18" t="s">
        <v>27</v>
      </c>
      <c r="G1" s="18" t="s">
        <v>28</v>
      </c>
    </row>
    <row r="2" customFormat="false" ht="33.75" hidden="false" customHeight="true" outlineLevel="0" collapsed="false">
      <c r="A2" s="19" t="s">
        <v>29</v>
      </c>
      <c r="B2" s="19" t="s">
        <v>118</v>
      </c>
      <c r="C2" s="19" t="s">
        <v>43</v>
      </c>
      <c r="D2" s="19" t="s">
        <v>90</v>
      </c>
      <c r="E2" s="19"/>
      <c r="F2" s="19"/>
      <c r="G2" s="19"/>
    </row>
    <row r="3" customFormat="false" ht="39.75" hidden="false" customHeight="true" outlineLevel="0" collapsed="false">
      <c r="A3" s="20" t="n">
        <v>1</v>
      </c>
      <c r="B3" s="20" t="s">
        <v>119</v>
      </c>
      <c r="C3" s="20" t="s">
        <v>43</v>
      </c>
      <c r="D3" s="21" t="s">
        <v>90</v>
      </c>
      <c r="E3" s="21"/>
      <c r="F3" s="21"/>
      <c r="G3" s="21"/>
    </row>
    <row r="4" customFormat="false" ht="39.75" hidden="false" customHeight="true" outlineLevel="0" collapsed="false">
      <c r="A4" s="20" t="n">
        <v>2</v>
      </c>
      <c r="B4" s="20" t="s">
        <v>120</v>
      </c>
      <c r="C4" s="20" t="s">
        <v>43</v>
      </c>
      <c r="D4" s="21" t="s">
        <v>90</v>
      </c>
      <c r="E4" s="21"/>
      <c r="F4" s="21"/>
      <c r="G4" s="21"/>
    </row>
    <row r="5" customFormat="false" ht="39.75" hidden="false" customHeight="true" outlineLevel="0" collapsed="false">
      <c r="A5" s="20" t="n">
        <v>3</v>
      </c>
      <c r="B5" s="20" t="s">
        <v>121</v>
      </c>
      <c r="C5" s="20" t="s">
        <v>43</v>
      </c>
      <c r="D5" s="21" t="s">
        <v>90</v>
      </c>
      <c r="E5" s="21"/>
      <c r="F5" s="21"/>
      <c r="G5" s="21"/>
    </row>
    <row r="6" customFormat="false" ht="39.75" hidden="false" customHeight="true" outlineLevel="0" collapsed="false">
      <c r="A6" s="20" t="n">
        <v>4</v>
      </c>
      <c r="B6" s="20" t="s">
        <v>122</v>
      </c>
      <c r="C6" s="20" t="s">
        <v>43</v>
      </c>
      <c r="D6" s="21" t="s">
        <v>90</v>
      </c>
      <c r="E6" s="21"/>
      <c r="F6" s="21"/>
      <c r="G6" s="21"/>
    </row>
  </sheetData>
  <dataValidations count="1">
    <dataValidation allowBlank="true" errorStyle="stop" operator="between" showDropDown="false" showErrorMessage="false" showInputMessage="false" sqref="D3:D6" type="list">
      <formula1>"Not Started,In Progress,Done,Blocked"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328125" defaultRowHeight="14.25" customHeight="false" zeroHeight="false" outlineLevelRow="0" outlineLevelCol="0"/>
  <cols>
    <col collapsed="false" customWidth="true" hidden="false" outlineLevel="0" max="1" min="1" style="0" width="4"/>
    <col collapsed="false" customWidth="true" hidden="false" outlineLevel="0" max="2" min="2" style="0" width="55"/>
    <col collapsed="false" customWidth="true" hidden="false" outlineLevel="0" max="3" min="3" style="0" width="14"/>
    <col collapsed="false" customWidth="true" hidden="false" outlineLevel="0" max="4" min="4" style="0" width="22"/>
    <col collapsed="false" customWidth="true" hidden="false" outlineLevel="0" max="5" min="5" style="0" width="30"/>
  </cols>
  <sheetData>
    <row r="1" customFormat="false" ht="19.5" hidden="false" customHeight="true" outlineLevel="0" collapsed="false">
      <c r="A1" s="18" t="s">
        <v>22</v>
      </c>
      <c r="B1" s="18" t="s">
        <v>123</v>
      </c>
      <c r="C1" s="18" t="s">
        <v>124</v>
      </c>
      <c r="D1" s="18" t="s">
        <v>125</v>
      </c>
      <c r="E1" s="18" t="s">
        <v>126</v>
      </c>
    </row>
    <row r="2" customFormat="false" ht="30" hidden="false" customHeight="true" outlineLevel="0" collapsed="false">
      <c r="A2" s="26" t="n">
        <v>1</v>
      </c>
      <c r="B2" s="27" t="s">
        <v>127</v>
      </c>
      <c r="C2" s="27" t="s">
        <v>128</v>
      </c>
      <c r="D2" s="27" t="s">
        <v>129</v>
      </c>
      <c r="E2" s="27"/>
    </row>
    <row r="3" customFormat="false" ht="30" hidden="false" customHeight="true" outlineLevel="0" collapsed="false">
      <c r="A3" s="26" t="n">
        <v>2</v>
      </c>
      <c r="B3" s="27" t="s">
        <v>130</v>
      </c>
      <c r="C3" s="27" t="s">
        <v>128</v>
      </c>
      <c r="D3" s="27" t="s">
        <v>129</v>
      </c>
      <c r="E3" s="27"/>
    </row>
    <row r="4" customFormat="false" ht="30" hidden="false" customHeight="true" outlineLevel="0" collapsed="false">
      <c r="A4" s="26" t="n">
        <v>3</v>
      </c>
      <c r="B4" s="27" t="s">
        <v>131</v>
      </c>
      <c r="C4" s="27" t="s">
        <v>128</v>
      </c>
      <c r="D4" s="27" t="s">
        <v>132</v>
      </c>
      <c r="E4" s="27"/>
    </row>
    <row r="5" customFormat="false" ht="30" hidden="false" customHeight="true" outlineLevel="0" collapsed="false">
      <c r="A5" s="26" t="n">
        <v>4</v>
      </c>
      <c r="B5" s="27" t="s">
        <v>133</v>
      </c>
      <c r="C5" s="27" t="s">
        <v>128</v>
      </c>
      <c r="D5" s="27" t="s">
        <v>134</v>
      </c>
      <c r="E5" s="27"/>
    </row>
    <row r="6" customFormat="false" ht="30" hidden="false" customHeight="true" outlineLevel="0" collapsed="false">
      <c r="A6" s="26" t="n">
        <v>5</v>
      </c>
      <c r="B6" s="27" t="s">
        <v>135</v>
      </c>
      <c r="C6" s="27" t="s">
        <v>128</v>
      </c>
      <c r="D6" s="27" t="s">
        <v>136</v>
      </c>
      <c r="E6" s="27"/>
    </row>
    <row r="7" customFormat="false" ht="30" hidden="false" customHeight="true" outlineLevel="0" collapsed="false">
      <c r="A7" s="26" t="n">
        <v>6</v>
      </c>
      <c r="B7" s="27" t="s">
        <v>137</v>
      </c>
      <c r="C7" s="27" t="s">
        <v>128</v>
      </c>
      <c r="D7" s="27" t="s">
        <v>138</v>
      </c>
      <c r="E7" s="27"/>
    </row>
    <row r="8" customFormat="false" ht="30" hidden="false" customHeight="true" outlineLevel="0" collapsed="false">
      <c r="A8" s="26" t="n">
        <v>7</v>
      </c>
      <c r="B8" s="27" t="s">
        <v>139</v>
      </c>
      <c r="C8" s="27" t="s">
        <v>128</v>
      </c>
      <c r="D8" s="27" t="s">
        <v>140</v>
      </c>
      <c r="E8" s="27"/>
    </row>
    <row r="9" customFormat="false" ht="30" hidden="false" customHeight="true" outlineLevel="0" collapsed="false">
      <c r="A9" s="26" t="n">
        <v>8</v>
      </c>
      <c r="B9" s="27" t="s">
        <v>141</v>
      </c>
      <c r="C9" s="27" t="s">
        <v>128</v>
      </c>
      <c r="D9" s="27" t="s">
        <v>134</v>
      </c>
      <c r="E9" s="27"/>
    </row>
    <row r="10" customFormat="false" ht="30" hidden="false" customHeight="true" outlineLevel="0" collapsed="false">
      <c r="A10" s="26" t="n">
        <v>9</v>
      </c>
      <c r="B10" s="27" t="s">
        <v>142</v>
      </c>
      <c r="C10" s="27" t="s">
        <v>143</v>
      </c>
      <c r="D10" s="27" t="s">
        <v>144</v>
      </c>
      <c r="E10" s="27" t="s">
        <v>31</v>
      </c>
    </row>
    <row r="11" customFormat="false" ht="30" hidden="false" customHeight="true" outlineLevel="0" collapsed="false">
      <c r="A11" s="26" t="n">
        <v>10</v>
      </c>
      <c r="B11" s="27" t="s">
        <v>145</v>
      </c>
      <c r="C11" s="27" t="s">
        <v>128</v>
      </c>
      <c r="D11" s="27" t="s">
        <v>144</v>
      </c>
      <c r="E11" s="27"/>
    </row>
    <row r="12" customFormat="false" ht="30" hidden="false" customHeight="true" outlineLevel="0" collapsed="false">
      <c r="A12" s="26" t="n">
        <v>11</v>
      </c>
      <c r="B12" s="27" t="s">
        <v>146</v>
      </c>
      <c r="C12" s="27" t="s">
        <v>147</v>
      </c>
      <c r="D12" s="27" t="s">
        <v>140</v>
      </c>
      <c r="E12" s="27" t="s">
        <v>89</v>
      </c>
    </row>
    <row r="13" customFormat="false" ht="30" hidden="false" customHeight="true" outlineLevel="0" collapsed="false">
      <c r="A13" s="26" t="n">
        <v>12</v>
      </c>
      <c r="B13" s="27" t="s">
        <v>148</v>
      </c>
      <c r="C13" s="27" t="s">
        <v>147</v>
      </c>
      <c r="D13" s="27" t="s">
        <v>140</v>
      </c>
      <c r="E13" s="27" t="s">
        <v>149</v>
      </c>
    </row>
    <row r="14" customFormat="false" ht="30" hidden="false" customHeight="true" outlineLevel="0" collapsed="false">
      <c r="A14" s="26" t="n">
        <v>13</v>
      </c>
      <c r="B14" s="27" t="s">
        <v>150</v>
      </c>
      <c r="C14" s="27" t="s">
        <v>147</v>
      </c>
      <c r="D14" s="27" t="s">
        <v>151</v>
      </c>
      <c r="E14" s="27"/>
    </row>
    <row r="15" customFormat="false" ht="30" hidden="false" customHeight="true" outlineLevel="0" collapsed="false">
      <c r="A15" s="26" t="n">
        <v>14</v>
      </c>
      <c r="B15" s="27" t="s">
        <v>152</v>
      </c>
      <c r="C15" s="27" t="s">
        <v>128</v>
      </c>
      <c r="D15" s="27" t="s">
        <v>153</v>
      </c>
      <c r="E15" s="27"/>
    </row>
    <row r="16" customFormat="false" ht="30" hidden="false" customHeight="true" outlineLevel="0" collapsed="false">
      <c r="A16" s="26" t="n">
        <v>15</v>
      </c>
      <c r="B16" s="27" t="s">
        <v>154</v>
      </c>
      <c r="C16" s="27" t="s">
        <v>147</v>
      </c>
      <c r="D16" s="27" t="s">
        <v>153</v>
      </c>
      <c r="E16" s="27" t="s">
        <v>86</v>
      </c>
    </row>
    <row r="17" customFormat="false" ht="30" hidden="false" customHeight="true" outlineLevel="0" collapsed="false">
      <c r="A17" s="26" t="n">
        <v>16</v>
      </c>
      <c r="B17" s="27" t="s">
        <v>155</v>
      </c>
      <c r="C17" s="27" t="s">
        <v>147</v>
      </c>
      <c r="D17" s="27" t="s">
        <v>134</v>
      </c>
      <c r="E17" s="27" t="s">
        <v>62</v>
      </c>
    </row>
    <row r="18" customFormat="false" ht="21.75" hidden="false" customHeight="true" outlineLevel="0" collapsed="false">
      <c r="A18" s="28" t="n">
        <v>17</v>
      </c>
      <c r="B18" s="29"/>
      <c r="C18" s="29"/>
      <c r="D18" s="29"/>
      <c r="E18" s="29"/>
    </row>
    <row r="19" customFormat="false" ht="21.75" hidden="false" customHeight="true" outlineLevel="0" collapsed="false">
      <c r="A19" s="28" t="n">
        <v>18</v>
      </c>
      <c r="B19" s="29"/>
      <c r="C19" s="29"/>
      <c r="D19" s="29"/>
      <c r="E19" s="29"/>
    </row>
    <row r="20" customFormat="false" ht="21.75" hidden="false" customHeight="true" outlineLevel="0" collapsed="false">
      <c r="A20" s="28" t="n">
        <v>19</v>
      </c>
      <c r="B20" s="29"/>
      <c r="C20" s="29"/>
      <c r="D20" s="29"/>
      <c r="E20" s="29"/>
    </row>
    <row r="21" customFormat="false" ht="21.75" hidden="false" customHeight="true" outlineLevel="0" collapsed="false">
      <c r="A21" s="28" t="n">
        <v>20</v>
      </c>
      <c r="B21" s="29"/>
      <c r="C21" s="29"/>
      <c r="D21" s="29"/>
      <c r="E21" s="29"/>
    </row>
    <row r="22" customFormat="false" ht="21.75" hidden="false" customHeight="true" outlineLevel="0" collapsed="false">
      <c r="A22" s="28" t="n">
        <v>21</v>
      </c>
      <c r="B22" s="29"/>
      <c r="C22" s="29"/>
      <c r="D22" s="29"/>
      <c r="E22" s="29"/>
    </row>
    <row r="23" customFormat="false" ht="21.75" hidden="false" customHeight="true" outlineLevel="0" collapsed="false">
      <c r="A23" s="28" t="n">
        <v>22</v>
      </c>
      <c r="B23" s="29"/>
      <c r="C23" s="29"/>
      <c r="D23" s="29"/>
      <c r="E23" s="29"/>
    </row>
    <row r="24" customFormat="false" ht="21.75" hidden="false" customHeight="true" outlineLevel="0" collapsed="false">
      <c r="A24" s="28" t="n">
        <v>23</v>
      </c>
      <c r="B24" s="29"/>
      <c r="C24" s="29"/>
      <c r="D24" s="29"/>
      <c r="E24" s="29"/>
    </row>
    <row r="25" customFormat="false" ht="21.75" hidden="false" customHeight="true" outlineLevel="0" collapsed="false">
      <c r="A25" s="28" t="n">
        <v>24</v>
      </c>
      <c r="B25" s="29"/>
      <c r="C25" s="29"/>
      <c r="D25" s="29"/>
      <c r="E25" s="29"/>
    </row>
    <row r="26" customFormat="false" ht="21.75" hidden="false" customHeight="true" outlineLevel="0" collapsed="false">
      <c r="A26" s="28" t="n">
        <v>25</v>
      </c>
      <c r="B26" s="29"/>
      <c r="C26" s="29"/>
      <c r="D26" s="29"/>
      <c r="E26" s="29"/>
    </row>
    <row r="27" customFormat="false" ht="21.75" hidden="false" customHeight="true" outlineLevel="0" collapsed="false">
      <c r="A27" s="28" t="n">
        <v>26</v>
      </c>
      <c r="B27" s="29"/>
      <c r="C27" s="29"/>
      <c r="D27" s="29"/>
      <c r="E27" s="29"/>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2026-08-21T06:42:09Z</dcterms:created>
  <dc:creator>openpyxl</dc:creator>
  <dc:description/>
  <dc:language>en-US</dc:language>
  <cp:lastModifiedBy/>
  <dcterms:modified xsi:type="dcterms:W3CDTF">2026-09-13T23:54:49Z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